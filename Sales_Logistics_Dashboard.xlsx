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lyup\Desktop\"/>
    </mc:Choice>
  </mc:AlternateContent>
  <xr:revisionPtr revIDLastSave="0" documentId="13_ncr:1_{6EFBDEB1-BF82-43F2-8A88-D5E55A3CE836}" xr6:coauthVersionLast="47" xr6:coauthVersionMax="47" xr10:uidLastSave="{00000000-0000-0000-0000-000000000000}"/>
  <bookViews>
    <workbookView xWindow="-98" yWindow="-98" windowWidth="24196" windowHeight="14476" xr2:uid="{CAE88E48-2DB7-465E-8644-975DDF4E59C8}"/>
  </bookViews>
  <sheets>
    <sheet name="Executive Summary" sheetId="1" r:id="rId1"/>
    <sheet name="Category Performance" sheetId="2" r:id="rId2"/>
    <sheet name="Geographic Logistics" sheetId="5" r:id="rId3"/>
    <sheet name="Logistics &amp; Review Scores" sheetId="6" r:id="rId4"/>
  </sheets>
  <definedNames>
    <definedName name="ExternalData_1" localSheetId="2" hidden="1">'Geographic Logistics'!$A$1:$E$28</definedName>
    <definedName name="ExternalData_1" localSheetId="3" hidden="1">'Logistics &amp; Review Scores'!$A$1:$H$6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A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F5BE1E-24C3-4D36-BC50-046B1416E358}" keepAlive="1" name="Query - data-1786738579578" description="Connection to the 'data-1786738579578' query in the workbook." type="5" refreshedVersion="7" background="1" saveData="1">
    <dbPr connection="Provider=Microsoft.Mashup.OleDb.1;Data Source=$Workbook$;Location=data-1786738579578;Extended Properties=&quot;&quot;" command="SELECT * FROM [data-1786738579578]"/>
  </connection>
  <connection id="2" xr16:uid="{EE497CA2-7A6B-4132-AA4E-4E99BD1EC4BD}" keepAlive="1" name="Query - data-1786805087959" description="Connection to the 'data-1786805087959' query in the workbook." type="5" refreshedVersion="7" background="1" saveData="1">
    <dbPr connection="Provider=Microsoft.Mashup.OleDb.1;Data Source=$Workbook$;Location=data-1786805087959;Extended Properties=&quot;&quot;" command="SELECT * FROM [data-1786805087959]"/>
  </connection>
</connections>
</file>

<file path=xl/sharedStrings.xml><?xml version="1.0" encoding="utf-8"?>
<sst xmlns="http://schemas.openxmlformats.org/spreadsheetml/2006/main" count="64" uniqueCount="61">
  <si>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</si>
  <si>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</si>
  <si>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</si>
  <si>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</si>
  <si>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</si>
  <si>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</si>
  <si>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</si>
  <si>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</si>
  <si>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</si>
  <si>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</si>
  <si>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</si>
  <si>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</si>
  <si>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</si>
  <si>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</si>
  <si>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</si>
  <si>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</si>
  <si>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</si>
  <si>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</si>
  <si>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</si>
  <si>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</si>
  <si>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</si>
  <si>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</si>
  <si>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</si>
  <si>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</si>
  <si>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</si>
  <si>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</si>
  <si>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</si>
  <si>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</si>
  <si>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</si>
  <si>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</si>
  <si>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</si>
  <si>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</si>
  <si>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</si>
  <si>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</si>
  <si>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</si>
  <si>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</si>
  <si>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toys</t>
  </si>
  <si>
    <t>product_category</t>
  </si>
  <si>
    <t>total_orders</t>
  </si>
  <si>
    <t>gross_revenue</t>
  </si>
  <si>
    <t>avg_order_value</t>
  </si>
  <si>
    <t>customer_state</t>
  </si>
  <si>
    <t>avg_freight_cost</t>
  </si>
  <si>
    <t>avg_delivery_days</t>
  </si>
  <si>
    <t>E-COMMERCE SALES &amp; LOGISTICS ANALYSIS</t>
  </si>
  <si>
    <t>TOTAL GROSS REVENUE</t>
  </si>
  <si>
    <t>TOTAL DELIVERED ORDERS</t>
  </si>
  <si>
    <t>AVERAGE ORDER VALUE (AOV)</t>
  </si>
  <si>
    <t>delivery_performance</t>
  </si>
  <si>
    <t>avg_review_score</t>
  </si>
  <si>
    <t>pct_1_star_reviews</t>
  </si>
  <si>
    <t>pct_2_star_reviews</t>
  </si>
  <si>
    <t>pct_3_star_reviews</t>
  </si>
  <si>
    <t>pct_4_star_reviews</t>
  </si>
  <si>
    <t>pct_5_star_reviews</t>
  </si>
  <si>
    <t>1. Early</t>
  </si>
  <si>
    <t>2. On-Time</t>
  </si>
  <si>
    <t>3. Late (1-3 days)</t>
  </si>
  <si>
    <t>4. Late (4-7 days)</t>
  </si>
  <si>
    <t>5. Late (8+ days)</t>
  </si>
  <si>
    <t>Executive Dashboard &amp; Project Summary | Author: Huseyn Omarov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</si>
</sst>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sz val="10"/>
      <color theme="1"/>
      <name val="Italic Gray"/>
      <charset val="204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0F4F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NumberFormat="1"/>
    <xf numFmtId="2" fontId="0" fillId="0" borderId="0" xfId="0" applyNumberFormat="1"/>
    <xf numFmtId="3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/>
    </xf>
    <xf numFmtId="3" fontId="5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R$-416]\ #,##0.00"/>
    </dxf>
    <dxf>
      <numFmt numFmtId="0" formatCode="General"/>
    </dxf>
    <dxf>
      <numFmt numFmtId="164" formatCode="[$R$-416]\ #,##0.00"/>
    </dxf>
    <dxf>
      <numFmt numFmtId="164" formatCode="[$R$-416]\ #,##0.00"/>
    </dxf>
    <dxf>
      <numFmt numFmtId="1" formatCode="0"/>
    </dxf>
  </dxfs>
  <tableStyles count="0" defaultTableStyle="TableStyleMedium2" defaultPivotStyle="PivotStyleLight16"/>
  <colors>
    <mruColors>
      <color rgb="FFFF0000"/>
      <color rgb="FFE2B060"/>
      <color rgb="FFCCCCCC"/>
      <color rgb="FF7EBEDA"/>
      <color rgb="FF7BB667"/>
      <color rgb="FFD9534F"/>
      <color rgb="FFF0F4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Health &amp; Beauty Leads Gross Revenue at R$ 1.23M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Performance'!$C$1</c:f>
              <c:strCache>
                <c:ptCount val="1"/>
                <c:pt idx="0">
                  <c:v>gross_revenue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Performance'!$A$2:$A$11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toys</c:v>
                </c:pt>
              </c:strCache>
            </c:strRef>
          </c:cat>
          <c:val>
            <c:numRef>
              <c:f>'Category Performance'!$C$2:$C$11</c:f>
              <c:numCache>
                <c:formatCode>[$R$-416]\ #\ ##0.00</c:formatCode>
                <c:ptCount val="10"/>
                <c:pt idx="0">
                  <c:v>1233131.72</c:v>
                </c:pt>
                <c:pt idx="1">
                  <c:v>1166176.98</c:v>
                </c:pt>
                <c:pt idx="2">
                  <c:v>1023434.76</c:v>
                </c:pt>
                <c:pt idx="3">
                  <c:v>954852.55</c:v>
                </c:pt>
                <c:pt idx="4">
                  <c:v>888724.61</c:v>
                </c:pt>
                <c:pt idx="5">
                  <c:v>711927.69</c:v>
                </c:pt>
                <c:pt idx="6">
                  <c:v>615628.68999999994</c:v>
                </c:pt>
                <c:pt idx="7">
                  <c:v>610204.1</c:v>
                </c:pt>
                <c:pt idx="8">
                  <c:v>578966.65</c:v>
                </c:pt>
                <c:pt idx="9">
                  <c:v>471286.48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5-4349-9B41-49DAECFC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2167743"/>
        <c:axId val="1282168159"/>
      </c:barChart>
      <c:catAx>
        <c:axId val="12821677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2168159"/>
        <c:crosses val="autoZero"/>
        <c:auto val="1"/>
        <c:lblAlgn val="ctr"/>
        <c:lblOffset val="100"/>
        <c:noMultiLvlLbl val="0"/>
      </c:catAx>
      <c:valAx>
        <c:axId val="1282168159"/>
        <c:scaling>
          <c:orientation val="minMax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R$-416]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216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1" u="none" strike="noStrike" baseline="0"/>
              <a:t>Top 10 States: Revenue Concentration vs. Delivery Lead Times</a:t>
            </a:r>
            <a:r>
              <a:rPr lang="en-US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'Geographic Logistics'!$C$1</c:f>
              <c:strCache>
                <c:ptCount val="1"/>
                <c:pt idx="0">
                  <c:v>gross_revenue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'Geographic Logistics'!$A$2:$A$11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'Geographic Logistics'!$C$2:$C$11</c:f>
              <c:numCache>
                <c:formatCode>[$R$-416]\ #\ ##0.00</c:formatCode>
                <c:ptCount val="10"/>
                <c:pt idx="0">
                  <c:v>5066562.9800000004</c:v>
                </c:pt>
                <c:pt idx="1">
                  <c:v>1759651.13</c:v>
                </c:pt>
                <c:pt idx="2">
                  <c:v>1552481.83</c:v>
                </c:pt>
                <c:pt idx="3">
                  <c:v>728718.47</c:v>
                </c:pt>
                <c:pt idx="4">
                  <c:v>666063.51</c:v>
                </c:pt>
                <c:pt idx="5">
                  <c:v>507012.13</c:v>
                </c:pt>
                <c:pt idx="6">
                  <c:v>493584.14</c:v>
                </c:pt>
                <c:pt idx="7">
                  <c:v>296498.40999999997</c:v>
                </c:pt>
                <c:pt idx="8">
                  <c:v>282836.7</c:v>
                </c:pt>
                <c:pt idx="9">
                  <c:v>268643.45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4-4AB2-B574-8FB277324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249615"/>
        <c:axId val="1370250031"/>
      </c:barChart>
      <c:lineChart>
        <c:grouping val="standard"/>
        <c:varyColors val="0"/>
        <c:ser>
          <c:idx val="1"/>
          <c:order val="1"/>
          <c:tx>
            <c:strRef>
              <c:f>'Geographic Logistics'!$E$1</c:f>
              <c:strCache>
                <c:ptCount val="1"/>
                <c:pt idx="0">
                  <c:v>avg_delivery_days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'Geographic Logistics'!$A$2:$A$11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'Geographic Logistics'!$E$2:$E$11</c:f>
              <c:numCache>
                <c:formatCode>General</c:formatCode>
                <c:ptCount val="10"/>
                <c:pt idx="0">
                  <c:v>8.3000000000000007</c:v>
                </c:pt>
                <c:pt idx="1">
                  <c:v>14.7</c:v>
                </c:pt>
                <c:pt idx="2">
                  <c:v>11.5</c:v>
                </c:pt>
                <c:pt idx="3">
                  <c:v>14.7</c:v>
                </c:pt>
                <c:pt idx="4">
                  <c:v>11.5</c:v>
                </c:pt>
                <c:pt idx="5">
                  <c:v>14.5</c:v>
                </c:pt>
                <c:pt idx="6">
                  <c:v>18.8</c:v>
                </c:pt>
                <c:pt idx="7">
                  <c:v>12.5</c:v>
                </c:pt>
                <c:pt idx="8">
                  <c:v>14.9</c:v>
                </c:pt>
                <c:pt idx="9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4-4AB2-B574-8FB277324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739999"/>
        <c:axId val="1368680671"/>
      </c:lineChart>
      <c:catAx>
        <c:axId val="137024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0250031"/>
        <c:crosses val="autoZero"/>
        <c:auto val="1"/>
        <c:lblAlgn val="ctr"/>
        <c:lblOffset val="100"/>
        <c:noMultiLvlLbl val="0"/>
      </c:catAx>
      <c:valAx>
        <c:axId val="137025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0249615"/>
        <c:crosses val="autoZero"/>
        <c:crossBetween val="between"/>
      </c:valAx>
      <c:valAx>
        <c:axId val="13686806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8739999"/>
        <c:crosses val="max"/>
        <c:crossBetween val="between"/>
      </c:valAx>
      <c:catAx>
        <c:axId val="1368739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8680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Delivery Delays Beyond 4 Days Trigger 58%+ 1-Star Reviews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'Logistics &amp; Review Scores'!$D$1</c:f>
              <c:strCache>
                <c:ptCount val="1"/>
                <c:pt idx="0">
                  <c:v>pct_1_star_reviews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'Logistics &amp; Review Scores'!$A$2:$A$6</c:f>
              <c:strCache>
                <c:ptCount val="5"/>
                <c:pt idx="0">
                  <c:v>1. Early</c:v>
                </c:pt>
                <c:pt idx="1">
                  <c:v>2. On-Time</c:v>
                </c:pt>
                <c:pt idx="2">
                  <c:v>3. Late (1-3 days)</c:v>
                </c:pt>
                <c:pt idx="3">
                  <c:v>4. Late (4-7 days)</c:v>
                </c:pt>
                <c:pt idx="4">
                  <c:v>5. Late (8+ days)</c:v>
                </c:pt>
              </c:strCache>
            </c:strRef>
          </c:cat>
          <c:val>
            <c:numRef>
              <c:f>'Logistics &amp; Review Scores'!$D$2:$D$6</c:f>
              <c:numCache>
                <c:formatCode>0.00%</c:formatCode>
                <c:ptCount val="5"/>
                <c:pt idx="0">
                  <c:v>6.6000000000000003E-2</c:v>
                </c:pt>
                <c:pt idx="1">
                  <c:v>8.5199999999999998E-2</c:v>
                </c:pt>
                <c:pt idx="2">
                  <c:v>0.25159999999999999</c:v>
                </c:pt>
                <c:pt idx="3">
                  <c:v>0.58540000000000003</c:v>
                </c:pt>
                <c:pt idx="4">
                  <c:v>0.69680000000000009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1-4296-BA68-A7BD308F2218}"/>
            </c:ext>
          </c:extLst>
        </c:ser>
        <c:ser>
          <c:idx val="1"/>
          <c:order val="1"/>
          <c:tx>
            <c:strRef>
              <c:f>'Logistics &amp; Review Scores'!$E$1</c:f>
              <c:strCache>
                <c:ptCount val="1"/>
                <c:pt idx="0">
                  <c:v>pct_2_star_reviews</c:v>
                </c:pt>
              </c:strCache>
            </c:strRef>
          </c:tx>
          <c:spPr>
            <a:solidFill>
              <a:srgbClr val="E2B060"/>
            </a:solidFill>
            <a:ln>
              <a:noFill/>
            </a:ln>
            <a:effectLst/>
          </c:spPr>
          <c:invertIfNegative val="0"/>
          <c:cat>
            <c:strRef>
              <c:f>'Logistics &amp; Review Scores'!$A$2:$A$6</c:f>
              <c:strCache>
                <c:ptCount val="5"/>
                <c:pt idx="0">
                  <c:v>1. Early</c:v>
                </c:pt>
                <c:pt idx="1">
                  <c:v>2. On-Time</c:v>
                </c:pt>
                <c:pt idx="2">
                  <c:v>3. Late (1-3 days)</c:v>
                </c:pt>
                <c:pt idx="3">
                  <c:v>4. Late (4-7 days)</c:v>
                </c:pt>
                <c:pt idx="4">
                  <c:v>5. Late (8+ days)</c:v>
                </c:pt>
              </c:strCache>
            </c:strRef>
          </c:cat>
          <c:val>
            <c:numRef>
              <c:f>'Logistics &amp; Review Scores'!$E$2:$E$6</c:f>
              <c:numCache>
                <c:formatCode>0.00%</c:formatCode>
                <c:ptCount val="5"/>
                <c:pt idx="0">
                  <c:v>2.63E-2</c:v>
                </c:pt>
                <c:pt idx="1">
                  <c:v>3.8699999999999998E-2</c:v>
                </c:pt>
                <c:pt idx="2">
                  <c:v>7.0000000000000007E-2</c:v>
                </c:pt>
                <c:pt idx="3">
                  <c:v>9.11E-2</c:v>
                </c:pt>
                <c:pt idx="4">
                  <c:v>9.5100000000000004E-2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1-4296-BA68-A7BD308F2218}"/>
            </c:ext>
          </c:extLst>
        </c:ser>
        <c:ser>
          <c:idx val="2"/>
          <c:order val="2"/>
          <c:tx>
            <c:strRef>
              <c:f>'Logistics &amp; Review Scores'!$F$1</c:f>
              <c:strCache>
                <c:ptCount val="1"/>
                <c:pt idx="0">
                  <c:v>pct_3_star_reviews</c:v>
                </c:pt>
              </c:strCache>
            </c:strRef>
          </c:tx>
          <c:spPr>
            <a:solidFill>
              <a:srgbClr val="CCCCCC"/>
            </a:solidFill>
            <a:ln>
              <a:noFill/>
            </a:ln>
            <a:effectLst/>
          </c:spPr>
          <c:invertIfNegative val="0"/>
          <c:cat>
            <c:strRef>
              <c:f>'Logistics &amp; Review Scores'!$A$2:$A$6</c:f>
              <c:strCache>
                <c:ptCount val="5"/>
                <c:pt idx="0">
                  <c:v>1. Early</c:v>
                </c:pt>
                <c:pt idx="1">
                  <c:v>2. On-Time</c:v>
                </c:pt>
                <c:pt idx="2">
                  <c:v>3. Late (1-3 days)</c:v>
                </c:pt>
                <c:pt idx="3">
                  <c:v>4. Late (4-7 days)</c:v>
                </c:pt>
                <c:pt idx="4">
                  <c:v>5. Late (8+ days)</c:v>
                </c:pt>
              </c:strCache>
            </c:strRef>
          </c:cat>
          <c:val>
            <c:numRef>
              <c:f>'Logistics &amp; Review Scores'!$F$2:$F$6</c:f>
              <c:numCache>
                <c:formatCode>0.00%</c:formatCode>
                <c:ptCount val="5"/>
                <c:pt idx="0">
                  <c:v>7.9899999999999999E-2</c:v>
                </c:pt>
                <c:pt idx="1">
                  <c:v>0.13789999999999999</c:v>
                </c:pt>
                <c:pt idx="2">
                  <c:v>0.14660000000000001</c:v>
                </c:pt>
                <c:pt idx="3">
                  <c:v>9.849999999999999E-2</c:v>
                </c:pt>
                <c:pt idx="4">
                  <c:v>9.01E-2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1-4296-BA68-A7BD308F2218}"/>
            </c:ext>
          </c:extLst>
        </c:ser>
        <c:ser>
          <c:idx val="3"/>
          <c:order val="3"/>
          <c:tx>
            <c:strRef>
              <c:f>'Logistics &amp; Review Scores'!$G$1</c:f>
              <c:strCache>
                <c:ptCount val="1"/>
                <c:pt idx="0">
                  <c:v>pct_4_star_reviews</c:v>
                </c:pt>
              </c:strCache>
            </c:strRef>
          </c:tx>
          <c:spPr>
            <a:solidFill>
              <a:srgbClr val="7EBEDA"/>
            </a:solidFill>
            <a:ln>
              <a:noFill/>
            </a:ln>
            <a:effectLst/>
          </c:spPr>
          <c:invertIfNegative val="0"/>
          <c:cat>
            <c:strRef>
              <c:f>'Logistics &amp; Review Scores'!$A$2:$A$6</c:f>
              <c:strCache>
                <c:ptCount val="5"/>
                <c:pt idx="0">
                  <c:v>1. Early</c:v>
                </c:pt>
                <c:pt idx="1">
                  <c:v>2. On-Time</c:v>
                </c:pt>
                <c:pt idx="2">
                  <c:v>3. Late (1-3 days)</c:v>
                </c:pt>
                <c:pt idx="3">
                  <c:v>4. Late (4-7 days)</c:v>
                </c:pt>
                <c:pt idx="4">
                  <c:v>5. Late (8+ days)</c:v>
                </c:pt>
              </c:strCache>
            </c:strRef>
          </c:cat>
          <c:val>
            <c:numRef>
              <c:f>'Logistics &amp; Review Scores'!$G$2:$G$6</c:f>
              <c:numCache>
                <c:formatCode>0.00%</c:formatCode>
                <c:ptCount val="5"/>
                <c:pt idx="0">
                  <c:v>0.2034</c:v>
                </c:pt>
                <c:pt idx="1">
                  <c:v>0.2339</c:v>
                </c:pt>
                <c:pt idx="2">
                  <c:v>0.20039999999999999</c:v>
                </c:pt>
                <c:pt idx="3">
                  <c:v>8.3699999999999997E-2</c:v>
                </c:pt>
                <c:pt idx="4">
                  <c:v>4.7599999999999996E-2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B1-4296-BA68-A7BD308F2218}"/>
            </c:ext>
          </c:extLst>
        </c:ser>
        <c:ser>
          <c:idx val="4"/>
          <c:order val="4"/>
          <c:tx>
            <c:strRef>
              <c:f>'Logistics &amp; Review Scores'!$H$1</c:f>
              <c:strCache>
                <c:ptCount val="1"/>
                <c:pt idx="0">
                  <c:v>pct_5_star_reviews</c:v>
                </c:pt>
              </c:strCache>
            </c:strRef>
          </c:tx>
          <c:spPr>
            <a:solidFill>
              <a:srgbClr val="7BB66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'Logistics &amp; Review Scores'!$A$2:$A$6</c:f>
              <c:strCache>
                <c:ptCount val="5"/>
                <c:pt idx="0">
                  <c:v>1. Early</c:v>
                </c:pt>
                <c:pt idx="1">
                  <c:v>2. On-Time</c:v>
                </c:pt>
                <c:pt idx="2">
                  <c:v>3. Late (1-3 days)</c:v>
                </c:pt>
                <c:pt idx="3">
                  <c:v>4. Late (4-7 days)</c:v>
                </c:pt>
                <c:pt idx="4">
                  <c:v>5. Late (8+ days)</c:v>
                </c:pt>
              </c:strCache>
            </c:strRef>
          </c:cat>
          <c:val>
            <c:numRef>
              <c:f>'Logistics &amp; Review Scores'!$H$2:$H$6</c:f>
              <c:numCache>
                <c:formatCode>0.00%</c:formatCode>
                <c:ptCount val="5"/>
                <c:pt idx="0">
                  <c:v>0.62429999999999997</c:v>
                </c:pt>
                <c:pt idx="1">
                  <c:v>0.50429999999999997</c:v>
                </c:pt>
                <c:pt idx="2">
                  <c:v>0.33140000000000003</c:v>
                </c:pt>
                <c:pt idx="3">
                  <c:v>0.14119999999999999</c:v>
                </c:pt>
                <c:pt idx="4">
                  <c:v>7.0400000000000004E-2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B1-4296-BA68-A7BD308F2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5423631"/>
        <c:axId val="1065425711"/>
      </c:barChart>
      <c:catAx>
        <c:axId val="1065423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425711"/>
        <c:crosses val="autoZero"/>
        <c:auto val="1"/>
        <c:lblAlgn val="ctr"/>
        <c:lblOffset val="100"/>
        <c:noMultiLvlLbl val="0"/>
      </c:catAx>
      <c:valAx>
        <c:axId val="106542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542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41257</xdr:rowOff>
    </xdr:from>
    <xdr:to>
      <xdr:col>6</xdr:col>
      <xdr:colOff>3935</xdr:colOff>
      <xdr:row>37</xdr:row>
      <xdr:rowOff>62664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FCD219-0132-41D1-8EE3-ABA451045319}"/>
            </a:ext>
          </a:extLst>
        </xdr:cNvPr>
        <xdr:cNvSpPr txBox="1"/>
      </xdr:nvSpPr>
      <xdr:spPr>
        <a:xfrm>
          <a:off x="0" y="1436586"/>
          <a:ext cx="5347126" cy="54105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200" b="1"/>
            <a:t>📌 </a:t>
          </a:r>
          <a:r>
            <a:rPr lang="en-US" sz="1200" b="1"/>
            <a:t>Strategic Insights</a:t>
          </a:r>
        </a:p>
        <a:p>
          <a:endParaRPr lang="en-US" sz="1200" b="1"/>
        </a:p>
        <a:p>
          <a:r>
            <a:rPr lang="en-US" sz="1200" b="1"/>
            <a:t>Category Yield:</a:t>
          </a:r>
          <a:r>
            <a:rPr lang="en-US" sz="1200"/>
            <a:t> High-AOV segments like </a:t>
          </a:r>
          <a:r>
            <a:rPr lang="en-US" sz="1200" i="1"/>
            <a:t>Watches &amp; Gifts</a:t>
          </a:r>
          <a:r>
            <a:rPr lang="en-US" sz="1200"/>
            <a:t> (R$ 212.23) generate higher revenue per customer compared to high-volume/low-margin categories like </a:t>
          </a:r>
          <a:r>
            <a:rPr lang="en-US" sz="1200" i="1"/>
            <a:t>Bed, Bath &amp; Table</a:t>
          </a:r>
          <a:r>
            <a:rPr lang="en-US" sz="1200"/>
            <a:t>.</a:t>
          </a:r>
        </a:p>
        <a:p>
          <a:endParaRPr lang="en-US" sz="1100" b="0"/>
        </a:p>
        <a:p>
          <a:r>
            <a:rPr lang="en-US" sz="1200" b="1"/>
            <a:t>Regional Fulfillment Gap:</a:t>
          </a:r>
          <a:r>
            <a:rPr lang="en-US" sz="1200"/>
            <a:t> São Paulo (SP) dominates volume with 8.3-day delivery and R$ 15.11 shipping, whereas outer regions (e.g., RR, AP) face 27+ day lead times and R$ 43.00+ freight costs.</a:t>
          </a:r>
        </a:p>
        <a:p>
          <a:endParaRPr lang="en-US" sz="1200" b="0"/>
        </a:p>
        <a:p>
          <a:r>
            <a:rPr lang="en-US" sz="1200" b="1"/>
            <a:t>CSAT Reliability Penalty:</a:t>
          </a:r>
          <a:r>
            <a:rPr lang="en-US" sz="1200"/>
            <a:t> On-time deliveries average 4.2/5.0 stars, while orders delayed beyond 8 days drop sharply to ~1.2 stars.</a:t>
          </a:r>
        </a:p>
        <a:p>
          <a:endParaRPr lang="en-US" sz="1200" b="0"/>
        </a:p>
        <a:p>
          <a:r>
            <a:rPr lang="ru-RU" sz="1200" b="1"/>
            <a:t>💡 </a:t>
          </a:r>
          <a:r>
            <a:rPr lang="en-US" sz="1200" b="1"/>
            <a:t>Strategic Business Recommendations</a:t>
          </a:r>
        </a:p>
        <a:p>
          <a:endParaRPr lang="en-US" sz="1200" b="0"/>
        </a:p>
        <a:p>
          <a:r>
            <a:rPr lang="en-US" sz="1200" b="1"/>
            <a:t>Optimize Remote Fulfillment Operations:</a:t>
          </a:r>
          <a:r>
            <a:rPr lang="en-US" sz="1200"/>
            <a:t> Partner with regional fulfillment centers in North/Northeast states (e.g., RR, AP, AM) to compress delivery times below 15 days and lower freight barriers.</a:t>
          </a:r>
        </a:p>
        <a:p>
          <a:endParaRPr lang="en-US" sz="1200"/>
        </a:p>
        <a:p>
          <a:r>
            <a:rPr lang="en-US" sz="1200" b="1"/>
            <a:t>Proactive Expectation Management for Delays:</a:t>
          </a:r>
          <a:r>
            <a:rPr lang="en-US" sz="1200"/>
            <a:t> Automated notifications should be triggered when shipments cross the 3-day delay mark, as delays past 4 days cause 1-star reviews to jump past 58%.</a:t>
          </a:r>
        </a:p>
        <a:p>
          <a:endParaRPr lang="en-US" sz="1200"/>
        </a:p>
        <a:p>
          <a:r>
            <a:rPr lang="en-US" sz="1200" b="1"/>
            <a:t>High-AOV Category Promotion:</a:t>
          </a:r>
          <a:r>
            <a:rPr lang="en-US" sz="1200"/>
            <a:t> Allocate marketing spend toward high-margin categories like </a:t>
          </a:r>
          <a:r>
            <a:rPr lang="en-US" sz="1200" i="1"/>
            <a:t>Watches &amp; Gifts</a:t>
          </a:r>
          <a:r>
            <a:rPr lang="en-US" sz="1200"/>
            <a:t> and </a:t>
          </a:r>
          <a:r>
            <a:rPr lang="en-US" sz="1200" i="1"/>
            <a:t>Computers Accessories</a:t>
          </a:r>
          <a:r>
            <a:rPr lang="en-US" sz="1200"/>
            <a:t> to increase overall basket size and profitability.</a:t>
          </a:r>
        </a:p>
        <a:p>
          <a:endParaRPr lang="ru-RU" sz="12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499551</xdr:colOff>
      <xdr:row>1</xdr:row>
      <xdr:rowOff>48774</xdr:rowOff>
    </xdr:from>
    <xdr:to>
      <xdr:col>21</xdr:col>
      <xdr:colOff>181938</xdr:colOff>
      <xdr:row>37</xdr:row>
      <xdr:rowOff>58863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FF9521-6686-47C1-8808-A0003CC2C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116679</xdr:colOff>
      <xdr:row>0</xdr:row>
      <xdr:rowOff>11904</xdr:rowOff>
    </xdr:from>
    <xdr:to>
      <xdr:col>18</xdr:col>
      <xdr:colOff>419100</xdr:colOff>
      <xdr:row>27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D477A-F24E-4092-8855-93812DB5B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988218</xdr:colOff>
      <xdr:row>6</xdr:row>
      <xdr:rowOff>116681</xdr:rowOff>
    </xdr:from>
    <xdr:to>
      <xdr:col>10</xdr:col>
      <xdr:colOff>338138</xdr:colOff>
      <xdr:row>31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00A6C-D39C-4265-9CAA-7FE4D1DC4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201940-4DAF-4BAC-8C7E-AAB9B78E8CC3}" autoFormatId="16" applyNumberFormats="0" applyBorderFormats="0" applyFontFormats="0" applyPatternFormats="0" applyAlignmentFormats="0" applyWidthHeightFormats="0">
  <queryTableRefresh nextId="6">
    <queryTableFields count="5">
      <queryTableField id="1" name="customer_state" tableColumnId="1"/>
      <queryTableField id="2" name="total_orders" tableColumnId="2"/>
      <queryTableField id="3" name="gross_revenue" tableColumnId="3"/>
      <queryTableField id="4" name="avg_freight_cost" tableColumnId="4"/>
      <queryTableField id="5" name="avg_delivery_day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50C30B-A1FC-4A0B-956A-A5EC06A55270}" autoFormatId="16" applyNumberFormats="0" applyBorderFormats="0" applyFontFormats="0" applyPatternFormats="0" applyAlignmentFormats="0" applyWidthHeightFormats="0">
  <queryTableRefresh nextId="9">
    <queryTableFields count="8">
      <queryTableField id="1" name="delivery_performance" tableColumnId="1"/>
      <queryTableField id="2" name="total_orders" tableColumnId="2"/>
      <queryTableField id="3" name="avg_review_score" tableColumnId="3"/>
      <queryTableField id="4" name="pct_1_star_reviews" tableColumnId="4"/>
      <queryTableField id="5" name="pct_2_star_reviews" tableColumnId="5"/>
      <queryTableField id="6" name="pct_3_star_reviews" tableColumnId="6"/>
      <queryTableField id="7" name="pct_4_star_reviews" tableColumnId="7"/>
      <queryTableField id="8" name="pct_5_star_reviews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CD2BBC-5A96-4890-B29A-3D8E736A1D8D}" name="Table2" displayName="Table2" ref="A1:D11" totalsRowShown="0">
  <autoFilter ref="A1:D11" xr:uid="{EACD2BBC-5A96-4890-B29A-3D8E736A1D8D}"/>
  <tableColumns count="4">
    <tableColumn id="1" xr3:uid="{283CA49F-6DC0-4C52-B797-A2B9BAAE8B92}" name="product_category"/>
    <tableColumn id="2" xr3:uid="{0DF9A0AF-EAA6-4CFC-B8A1-54E4255FA240}" name="total_orders" dataDxfId="14"/>
    <tableColumn id="3" xr3:uid="{57083B27-CD88-49FC-86B4-8234A2834609}" name="gross_revenue" dataDxfId="13"/>
    <tableColumn id="4" xr3:uid="{60B29013-574A-44C0-9AD6-C33D0F1AF0FC}" name="avg_order_value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8F463-63FF-4870-9271-8D7AC5FA6F65}" name="data_1786738579578" displayName="data_1786738579578" ref="A1:E28" tableType="queryTable" totalsRowShown="0">
  <autoFilter ref="A1:E28" xr:uid="{F6D8F463-63FF-4870-9271-8D7AC5FA6F65}"/>
  <tableColumns count="5">
    <tableColumn id="1" xr3:uid="{0995A313-13E1-4E17-996C-0DDF243F68B0}" uniqueName="1" name="customer_state" queryTableFieldId="1" dataDxfId="11"/>
    <tableColumn id="2" xr3:uid="{43EC8223-0A80-4EF0-934C-5890B0706776}" uniqueName="2" name="total_orders" queryTableFieldId="2"/>
    <tableColumn id="3" xr3:uid="{BED24B54-9160-47E1-B87D-5EAB99317FB1}" uniqueName="3" name="gross_revenue" queryTableFieldId="3" dataDxfId="10"/>
    <tableColumn id="4" xr3:uid="{0194CE74-9337-4AF3-AB1D-F3C965144131}" uniqueName="4" name="avg_freight_cost" queryTableFieldId="4" dataDxfId="9"/>
    <tableColumn id="5" xr3:uid="{07F3AE66-86B3-47FE-85E9-F747E4D4ADF9}" uniqueName="5" name="avg_delivery_days" queryTableFieldId="5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665AFC-57C8-4D43-8816-E8005B22D62D}" name="data_1786805087959" displayName="data_1786805087959" ref="A1:H6" tableType="queryTable" totalsRowShown="0">
  <autoFilter ref="A1:H6" xr:uid="{71665AFC-57C8-4D43-8816-E8005B22D62D}"/>
  <tableColumns count="8">
    <tableColumn id="1" xr3:uid="{78B167FB-8897-448A-90D2-4A994ED51CC9}" uniqueName="1" name="delivery_performance" queryTableFieldId="1" dataDxfId="7"/>
    <tableColumn id="2" xr3:uid="{467ED737-65EA-41B0-B733-8830A8D3628E}" uniqueName="2" name="total_orders" queryTableFieldId="2" dataDxfId="6"/>
    <tableColumn id="3" xr3:uid="{9483E559-D2AC-4E35-B8E5-BCA5A4F3260A}" uniqueName="3" name="avg_review_score" queryTableFieldId="3" dataDxfId="5"/>
    <tableColumn id="4" xr3:uid="{569682FF-B9D5-49E6-BBB9-45655EF4CCF0}" uniqueName="4" name="pct_1_star_reviews" queryTableFieldId="4" dataDxfId="4"/>
    <tableColumn id="5" xr3:uid="{CD39EF2C-D905-4D13-85A1-53615D28E8DD}" uniqueName="5" name="pct_2_star_reviews" queryTableFieldId="5" dataDxfId="3"/>
    <tableColumn id="6" xr3:uid="{39159B7D-2F66-4DEB-8E36-8D6BA35B414D}" uniqueName="6" name="pct_3_star_reviews" queryTableFieldId="6" dataDxfId="2"/>
    <tableColumn id="7" xr3:uid="{46CDA227-9655-435D-BE5A-D0D5185FE906}" uniqueName="7" name="pct_4_star_reviews" queryTableFieldId="7" dataDxfId="1"/>
    <tableColumn id="8" xr3:uid="{36E86696-7F30-48AC-A9C2-7170A8E5FFFE}" uniqueName="8" name="pct_5_star_review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CAB9-2DD6-49B8-995F-68BE8B82E8D2}">
  <dimension ref="A1:F6"/>
  <sheetViews>
    <sheetView showGridLines="0" tabSelected="1" zoomScale="95" zoomScaleNormal="95" workbookViewId="0">
      <selection activeCell="K13" sqref="K13"/>
    </sheetView>
  </sheetViews>
  <sheetFormatPr defaultRowHeight="14.25"/>
  <cols>
    <col min="1" max="1" width="11.1328125" customWidth="1"/>
    <col min="2" max="2" width="10.53125" customWidth="1"/>
    <col min="3" max="3" width="11.265625" customWidth="1"/>
    <col min="4" max="4" width="11.86328125" customWidth="1"/>
    <col min="6" max="6" width="20.9296875" customWidth="1"/>
  </cols>
  <sheetData>
    <row r="1" spans="1:6" ht="21">
      <c r="A1" s="7" t="s">
        <v>44</v>
      </c>
      <c r="B1" s="7"/>
      <c r="C1" s="7"/>
      <c r="D1" s="7"/>
      <c r="E1" s="7"/>
      <c r="F1" s="7"/>
    </row>
    <row r="2" spans="1:6">
      <c r="A2" s="8" t="s">
        <v>60</v>
      </c>
      <c r="B2" s="8"/>
      <c r="C2" s="8"/>
      <c r="D2" s="8"/>
      <c r="E2" s="8"/>
      <c r="F2" s="8"/>
    </row>
    <row r="5" spans="1:6">
      <c r="A5" s="9" t="s">
        <v>45</v>
      </c>
      <c r="B5" s="10"/>
      <c r="C5" s="9" t="s">
        <v>46</v>
      </c>
      <c r="D5" s="10"/>
      <c r="E5" s="9" t="s">
        <v>47</v>
      </c>
      <c r="F5" s="10"/>
    </row>
    <row r="6" spans="1:6" ht="18">
      <c r="A6" s="11">
        <f>SUM('Geographic Logistics'!C2:C28)</f>
        <v>13220248.930000003</v>
      </c>
      <c r="B6" s="12"/>
      <c r="C6" s="13">
        <f>SUM('Geographic Logistics'!B2:B28)</f>
        <v>96470</v>
      </c>
      <c r="D6" s="14"/>
      <c r="E6" s="11">
        <v>137.04</v>
      </c>
      <c r="F6" s="12"/>
    </row>
  </sheetData>
  <mergeCells count="8">
    <mergeCell ref="A1:F1"/>
    <mergeCell ref="A2:F2"/>
    <mergeCell ref="A5:B5"/>
    <mergeCell ref="A6:B6"/>
    <mergeCell ref="C5:D5"/>
    <mergeCell ref="C6:D6"/>
    <mergeCell ref="E5:F5"/>
    <mergeCell ref="E6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1E88-2D00-44EE-9C1F-6D27DA24E460}">
  <dimension ref="A1:D11"/>
  <sheetViews>
    <sheetView zoomScale="89" workbookViewId="0">
      <selection activeCell="D19" sqref="D19"/>
    </sheetView>
  </sheetViews>
  <sheetFormatPr defaultRowHeight="14.25"/>
  <cols>
    <col min="1" max="2" width="16.86328125" customWidth="1"/>
    <col min="3" max="3" width="16.53125" customWidth="1"/>
    <col min="4" max="4" width="15.9296875" customWidth="1"/>
  </cols>
  <sheetData>
    <row r="1" spans="1:4">
      <c r="A1" t="s">
        <v>37</v>
      </c>
      <c r="B1" t="s">
        <v>38</v>
      </c>
      <c r="C1" t="s">
        <v>39</v>
      </c>
      <c r="D1" t="s">
        <v>40</v>
      </c>
    </row>
    <row r="2" spans="1:4">
      <c r="A2" t="s">
        <v>27</v>
      </c>
      <c r="B2" s="2">
        <v>8647</v>
      </c>
      <c r="C2" s="1">
        <v>1233131.72</v>
      </c>
      <c r="D2" s="1">
        <v>142.61000000000001</v>
      </c>
    </row>
    <row r="3" spans="1:4">
      <c r="A3" t="s">
        <v>28</v>
      </c>
      <c r="B3" s="2">
        <v>5495</v>
      </c>
      <c r="C3" s="1">
        <v>1166176.98</v>
      </c>
      <c r="D3" s="1">
        <v>212.23</v>
      </c>
    </row>
    <row r="4" spans="1:4">
      <c r="A4" t="s">
        <v>29</v>
      </c>
      <c r="B4" s="2">
        <v>9272</v>
      </c>
      <c r="C4" s="1">
        <v>1023434.76</v>
      </c>
      <c r="D4" s="1">
        <v>110.38</v>
      </c>
    </row>
    <row r="5" spans="1:4">
      <c r="A5" t="s">
        <v>30</v>
      </c>
      <c r="B5" s="2">
        <v>7530</v>
      </c>
      <c r="C5" s="1">
        <v>954852.55</v>
      </c>
      <c r="D5" s="1">
        <v>126.81</v>
      </c>
    </row>
    <row r="6" spans="1:4">
      <c r="A6" t="s">
        <v>31</v>
      </c>
      <c r="B6" s="2">
        <v>6530</v>
      </c>
      <c r="C6" s="1">
        <v>888724.61</v>
      </c>
      <c r="D6" s="1">
        <v>136.1</v>
      </c>
    </row>
    <row r="7" spans="1:4">
      <c r="A7" t="s">
        <v>32</v>
      </c>
      <c r="B7" s="2">
        <v>6307</v>
      </c>
      <c r="C7" s="1">
        <v>711927.69</v>
      </c>
      <c r="D7" s="1">
        <v>112.88</v>
      </c>
    </row>
    <row r="8" spans="1:4">
      <c r="A8" t="s">
        <v>33</v>
      </c>
      <c r="B8" s="2">
        <v>5743</v>
      </c>
      <c r="C8" s="1">
        <v>615628.68999999994</v>
      </c>
      <c r="D8" s="1">
        <v>107.2</v>
      </c>
    </row>
    <row r="9" spans="1:4">
      <c r="A9" t="s">
        <v>34</v>
      </c>
      <c r="B9" s="2">
        <v>3559</v>
      </c>
      <c r="C9" s="1">
        <v>610204.1</v>
      </c>
      <c r="D9" s="1">
        <v>171.45</v>
      </c>
    </row>
    <row r="10" spans="1:4">
      <c r="A10" t="s">
        <v>35</v>
      </c>
      <c r="B10" s="2">
        <v>3810</v>
      </c>
      <c r="C10" s="1">
        <v>578966.65</v>
      </c>
      <c r="D10" s="1">
        <v>151.96</v>
      </c>
    </row>
    <row r="11" spans="1:4">
      <c r="A11" t="s">
        <v>36</v>
      </c>
      <c r="B11" s="2">
        <v>3804</v>
      </c>
      <c r="C11" s="1">
        <v>471286.48</v>
      </c>
      <c r="D11" s="1">
        <v>123.89</v>
      </c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04BA-94F8-455C-B02D-BCFF50E300C9}">
  <dimension ref="A1:E28"/>
  <sheetViews>
    <sheetView workbookViewId="0">
      <selection activeCell="M32" sqref="M32"/>
    </sheetView>
  </sheetViews>
  <sheetFormatPr defaultRowHeight="14.25"/>
  <cols>
    <col min="1" max="1" width="15.6640625" bestFit="1" customWidth="1"/>
    <col min="2" max="2" width="12.9296875" bestFit="1" customWidth="1"/>
    <col min="3" max="3" width="14.86328125" bestFit="1" customWidth="1"/>
    <col min="4" max="4" width="16.3984375" bestFit="1" customWidth="1"/>
    <col min="5" max="5" width="17.9296875" bestFit="1" customWidth="1"/>
  </cols>
  <sheetData>
    <row r="1" spans="1:5">
      <c r="A1" t="s">
        <v>41</v>
      </c>
      <c r="B1" t="s">
        <v>38</v>
      </c>
      <c r="C1" t="s">
        <v>39</v>
      </c>
      <c r="D1" t="s">
        <v>42</v>
      </c>
      <c r="E1" t="s">
        <v>43</v>
      </c>
    </row>
    <row r="2" spans="1:5">
      <c r="A2" s="3" t="s">
        <v>0</v>
      </c>
      <c r="B2">
        <v>40494</v>
      </c>
      <c r="C2" s="1">
        <v>5066562.9800000004</v>
      </c>
      <c r="D2" s="3">
        <v>15.11</v>
      </c>
      <c r="E2" s="3">
        <v>8.3000000000000007</v>
      </c>
    </row>
    <row r="3" spans="1:5">
      <c r="A3" s="3" t="s">
        <v>1</v>
      </c>
      <c r="B3">
        <v>12350</v>
      </c>
      <c r="C3" s="1">
        <v>1759651.13</v>
      </c>
      <c r="D3" s="3">
        <v>20.91</v>
      </c>
      <c r="E3" s="3">
        <v>14.7</v>
      </c>
    </row>
    <row r="4" spans="1:5">
      <c r="A4" s="3" t="s">
        <v>2</v>
      </c>
      <c r="B4">
        <v>11354</v>
      </c>
      <c r="C4" s="1">
        <v>1552481.83</v>
      </c>
      <c r="D4" s="3">
        <v>20.63</v>
      </c>
      <c r="E4" s="3">
        <v>11.5</v>
      </c>
    </row>
    <row r="5" spans="1:5">
      <c r="A5" s="3" t="s">
        <v>3</v>
      </c>
      <c r="B5">
        <v>5344</v>
      </c>
      <c r="C5" s="1">
        <v>728718.47</v>
      </c>
      <c r="D5" s="3">
        <v>21.61</v>
      </c>
      <c r="E5" s="3">
        <v>14.7</v>
      </c>
    </row>
    <row r="6" spans="1:5">
      <c r="A6" s="3" t="s">
        <v>4</v>
      </c>
      <c r="B6">
        <v>4923</v>
      </c>
      <c r="C6" s="1">
        <v>666063.51</v>
      </c>
      <c r="D6" s="3">
        <v>20.47</v>
      </c>
      <c r="E6" s="3">
        <v>11.5</v>
      </c>
    </row>
    <row r="7" spans="1:5">
      <c r="A7" s="3" t="s">
        <v>5</v>
      </c>
      <c r="B7">
        <v>3546</v>
      </c>
      <c r="C7" s="1">
        <v>507012.13</v>
      </c>
      <c r="D7" s="3">
        <v>21.51</v>
      </c>
      <c r="E7" s="3">
        <v>14.5</v>
      </c>
    </row>
    <row r="8" spans="1:5">
      <c r="A8" s="3" t="s">
        <v>6</v>
      </c>
      <c r="B8">
        <v>3256</v>
      </c>
      <c r="C8" s="1">
        <v>493584.14</v>
      </c>
      <c r="D8" s="3">
        <v>26.49</v>
      </c>
      <c r="E8" s="3">
        <v>18.8</v>
      </c>
    </row>
    <row r="9" spans="1:5">
      <c r="A9" s="3" t="s">
        <v>7</v>
      </c>
      <c r="B9">
        <v>2080</v>
      </c>
      <c r="C9" s="1">
        <v>296498.40999999997</v>
      </c>
      <c r="D9" s="3">
        <v>21.07</v>
      </c>
      <c r="E9" s="3">
        <v>12.5</v>
      </c>
    </row>
    <row r="10" spans="1:5">
      <c r="A10" s="3" t="s">
        <v>9</v>
      </c>
      <c r="B10">
        <v>1957</v>
      </c>
      <c r="C10" s="1">
        <v>282836.7</v>
      </c>
      <c r="D10" s="3">
        <v>22.56</v>
      </c>
      <c r="E10" s="3">
        <v>14.9</v>
      </c>
    </row>
    <row r="11" spans="1:5">
      <c r="A11" s="3" t="s">
        <v>8</v>
      </c>
      <c r="B11">
        <v>1995</v>
      </c>
      <c r="C11" s="1">
        <v>268643.45</v>
      </c>
      <c r="D11" s="3">
        <v>22.03</v>
      </c>
      <c r="E11" s="3">
        <v>15.2</v>
      </c>
    </row>
    <row r="12" spans="1:5">
      <c r="A12" s="3" t="s">
        <v>10</v>
      </c>
      <c r="B12">
        <v>1593</v>
      </c>
      <c r="C12" s="1">
        <v>251889.49</v>
      </c>
      <c r="D12" s="3">
        <v>32.69</v>
      </c>
      <c r="E12" s="3">
        <v>17.8</v>
      </c>
    </row>
    <row r="13" spans="1:5">
      <c r="A13" s="3" t="s">
        <v>11</v>
      </c>
      <c r="B13">
        <v>1279</v>
      </c>
      <c r="C13" s="1">
        <v>219757.38</v>
      </c>
      <c r="D13" s="3">
        <v>32.729999999999997</v>
      </c>
      <c r="E13" s="3">
        <v>20.5</v>
      </c>
    </row>
    <row r="14" spans="1:5">
      <c r="A14" s="3" t="s">
        <v>12</v>
      </c>
      <c r="B14">
        <v>946</v>
      </c>
      <c r="C14" s="1">
        <v>174470.59</v>
      </c>
      <c r="D14" s="3">
        <v>35.630000000000003</v>
      </c>
      <c r="E14" s="3">
        <v>23.3</v>
      </c>
    </row>
    <row r="15" spans="1:5">
      <c r="A15" s="3" t="s">
        <v>13</v>
      </c>
      <c r="B15">
        <v>886</v>
      </c>
      <c r="C15" s="1">
        <v>152191.62</v>
      </c>
      <c r="D15" s="3">
        <v>28</v>
      </c>
      <c r="E15" s="3">
        <v>17.5</v>
      </c>
    </row>
    <row r="16" spans="1:5">
      <c r="A16" s="3" t="s">
        <v>14</v>
      </c>
      <c r="B16">
        <v>717</v>
      </c>
      <c r="C16" s="1">
        <v>117009.38</v>
      </c>
      <c r="D16" s="3">
        <v>38.49</v>
      </c>
      <c r="E16" s="3">
        <v>21.2</v>
      </c>
    </row>
    <row r="17" spans="1:5">
      <c r="A17" s="3" t="s">
        <v>15</v>
      </c>
      <c r="B17">
        <v>701</v>
      </c>
      <c r="C17" s="1">
        <v>115429.97</v>
      </c>
      <c r="D17" s="3">
        <v>23.35</v>
      </c>
      <c r="E17" s="3">
        <v>15.1</v>
      </c>
    </row>
    <row r="18" spans="1:5">
      <c r="A18" s="3" t="s">
        <v>16</v>
      </c>
      <c r="B18">
        <v>517</v>
      </c>
      <c r="C18" s="1">
        <v>112586.82</v>
      </c>
      <c r="D18" s="3">
        <v>43.09</v>
      </c>
      <c r="E18" s="3">
        <v>20.100000000000001</v>
      </c>
    </row>
    <row r="19" spans="1:5">
      <c r="A19" s="3" t="s">
        <v>17</v>
      </c>
      <c r="B19">
        <v>476</v>
      </c>
      <c r="C19" s="1">
        <v>84721</v>
      </c>
      <c r="D19" s="3">
        <v>39.119999999999997</v>
      </c>
      <c r="E19" s="3">
        <v>18.899999999999999</v>
      </c>
    </row>
    <row r="20" spans="1:5">
      <c r="A20" s="3" t="s">
        <v>18</v>
      </c>
      <c r="B20">
        <v>474</v>
      </c>
      <c r="C20" s="1">
        <v>82105.66</v>
      </c>
      <c r="D20" s="3">
        <v>35.72</v>
      </c>
      <c r="E20" s="3">
        <v>18.899999999999999</v>
      </c>
    </row>
    <row r="21" spans="1:5">
      <c r="A21" s="3" t="s">
        <v>19</v>
      </c>
      <c r="B21">
        <v>397</v>
      </c>
      <c r="C21" s="1">
        <v>78855.72</v>
      </c>
      <c r="D21" s="3">
        <v>35.869999999999997</v>
      </c>
      <c r="E21" s="3">
        <v>24</v>
      </c>
    </row>
    <row r="22" spans="1:5">
      <c r="A22" s="3" t="s">
        <v>20</v>
      </c>
      <c r="B22">
        <v>335</v>
      </c>
      <c r="C22" s="1">
        <v>56574.19</v>
      </c>
      <c r="D22" s="3">
        <v>36.57</v>
      </c>
      <c r="E22" s="3">
        <v>21</v>
      </c>
    </row>
    <row r="23" spans="1:5">
      <c r="A23" s="3" t="s">
        <v>21</v>
      </c>
      <c r="B23">
        <v>274</v>
      </c>
      <c r="C23" s="1">
        <v>48402.51</v>
      </c>
      <c r="D23" s="3">
        <v>37.44</v>
      </c>
      <c r="E23" s="3">
        <v>17</v>
      </c>
    </row>
    <row r="24" spans="1:5">
      <c r="A24" s="3" t="s">
        <v>22</v>
      </c>
      <c r="B24">
        <v>243</v>
      </c>
      <c r="C24" s="1">
        <v>45682.76</v>
      </c>
      <c r="D24" s="3">
        <v>41.33</v>
      </c>
      <c r="E24" s="3">
        <v>19.3</v>
      </c>
    </row>
    <row r="25" spans="1:5">
      <c r="A25" s="3" t="s">
        <v>23</v>
      </c>
      <c r="B25">
        <v>145</v>
      </c>
      <c r="C25" s="1">
        <v>22155.84</v>
      </c>
      <c r="D25" s="3">
        <v>33.31</v>
      </c>
      <c r="E25" s="3">
        <v>26</v>
      </c>
    </row>
    <row r="26" spans="1:5">
      <c r="A26" s="3" t="s">
        <v>24</v>
      </c>
      <c r="B26">
        <v>80</v>
      </c>
      <c r="C26" s="1">
        <v>15930.97</v>
      </c>
      <c r="D26" s="3">
        <v>40.049999999999997</v>
      </c>
      <c r="E26" s="3">
        <v>20.3</v>
      </c>
    </row>
    <row r="27" spans="1:5">
      <c r="A27" s="3" t="s">
        <v>25</v>
      </c>
      <c r="B27">
        <v>67</v>
      </c>
      <c r="C27" s="1">
        <v>13374.81</v>
      </c>
      <c r="D27" s="3">
        <v>34.159999999999997</v>
      </c>
      <c r="E27" s="3">
        <v>27.8</v>
      </c>
    </row>
    <row r="28" spans="1:5">
      <c r="A28" s="3" t="s">
        <v>26</v>
      </c>
      <c r="B28">
        <v>41</v>
      </c>
      <c r="C28" s="1">
        <v>7057.47</v>
      </c>
      <c r="D28" s="3">
        <v>43.09</v>
      </c>
      <c r="E28" s="3">
        <v>27.8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45A6-D4F5-4CFE-9123-8B3630AB0318}">
  <dimension ref="A1:H6"/>
  <sheetViews>
    <sheetView workbookViewId="0">
      <selection activeCell="D36" sqref="D36"/>
    </sheetView>
  </sheetViews>
  <sheetFormatPr defaultRowHeight="14.25"/>
  <cols>
    <col min="1" max="1" width="21" bestFit="1" customWidth="1"/>
    <col min="2" max="2" width="12.9296875" bestFit="1" customWidth="1"/>
    <col min="3" max="3" width="17.53125" bestFit="1" customWidth="1"/>
    <col min="4" max="8" width="18.73046875" bestFit="1" customWidth="1"/>
  </cols>
  <sheetData>
    <row r="1" spans="1:8">
      <c r="A1" t="s">
        <v>48</v>
      </c>
      <c r="B1" t="s">
        <v>38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s="3" t="s">
        <v>55</v>
      </c>
      <c r="B2" s="5">
        <v>88163</v>
      </c>
      <c r="C2" s="4">
        <v>4.29</v>
      </c>
      <c r="D2" s="6">
        <v>6.6000000000000003E-2</v>
      </c>
      <c r="E2" s="6">
        <v>2.63E-2</v>
      </c>
      <c r="F2" s="6">
        <v>7.9899999999999999E-2</v>
      </c>
      <c r="G2" s="6">
        <v>0.2034</v>
      </c>
      <c r="H2" s="6">
        <v>0.62429999999999997</v>
      </c>
    </row>
    <row r="3" spans="1:8">
      <c r="A3" s="3" t="s">
        <v>56</v>
      </c>
      <c r="B3" s="5">
        <v>1280</v>
      </c>
      <c r="C3" s="4">
        <v>4.03</v>
      </c>
      <c r="D3" s="6">
        <v>8.5199999999999998E-2</v>
      </c>
      <c r="E3" s="6">
        <v>3.8699999999999998E-2</v>
      </c>
      <c r="F3" s="6">
        <v>0.13789999999999999</v>
      </c>
      <c r="G3" s="6">
        <v>0.2339</v>
      </c>
      <c r="H3" s="6">
        <v>0.50429999999999997</v>
      </c>
    </row>
    <row r="4" spans="1:8">
      <c r="A4" s="3" t="s">
        <v>57</v>
      </c>
      <c r="B4" s="5">
        <v>1852</v>
      </c>
      <c r="C4" s="4">
        <v>3.29</v>
      </c>
      <c r="D4" s="6">
        <v>0.25159999999999999</v>
      </c>
      <c r="E4" s="6">
        <v>7.0000000000000007E-2</v>
      </c>
      <c r="F4" s="6">
        <v>0.14660000000000001</v>
      </c>
      <c r="G4" s="6">
        <v>0.20039999999999999</v>
      </c>
      <c r="H4" s="6">
        <v>0.33140000000000003</v>
      </c>
    </row>
    <row r="5" spans="1:8">
      <c r="A5" s="3" t="s">
        <v>58</v>
      </c>
      <c r="B5" s="5">
        <v>1748</v>
      </c>
      <c r="C5" s="4">
        <v>2.1</v>
      </c>
      <c r="D5" s="6">
        <v>0.58540000000000003</v>
      </c>
      <c r="E5" s="6">
        <v>9.11E-2</v>
      </c>
      <c r="F5" s="6">
        <v>9.849999999999999E-2</v>
      </c>
      <c r="G5" s="6">
        <v>8.3699999999999997E-2</v>
      </c>
      <c r="H5" s="6">
        <v>0.14119999999999999</v>
      </c>
    </row>
    <row r="6" spans="1:8">
      <c r="A6" s="3" t="s">
        <v>59</v>
      </c>
      <c r="B6" s="5">
        <v>2781</v>
      </c>
      <c r="C6" s="4">
        <v>1.7</v>
      </c>
      <c r="D6" s="6">
        <v>0.69680000000000009</v>
      </c>
      <c r="E6" s="6">
        <v>9.5100000000000004E-2</v>
      </c>
      <c r="F6" s="6">
        <v>9.01E-2</v>
      </c>
      <c r="G6" s="6">
        <v>4.7599999999999996E-2</v>
      </c>
      <c r="H6" s="6">
        <v>7.0400000000000004E-2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C9A56-D956-4D28-87E9-FCDA200B5F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Category Performance</vt:lpstr>
      <vt:lpstr>Geographic Logistics</vt:lpstr>
      <vt:lpstr>Logistics &amp; Review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Huseyn Omarov</dc:creator>
  <cp:lastModifiedBy>Huseyn Omarov</cp:lastModifiedBy>
  <dcterms:created xsi:type="dcterms:W3CDTF">2026-08-13T17:37:00Z</dcterms:created>
  <dcterms:modified xsi:type="dcterms:W3CDTF">2026-08-15T16:54:58Z</dcterms:modified>
</cp:coreProperties>
</file>